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Brutos" sheetId="1" state="visible" r:id="rId3"/>
    <sheet name="Resumo Executivo" sheetId="2" state="visible" r:id="rId4"/>
    <sheet name="Por Categoria" sheetId="3" state="visible" r:id="rId5"/>
    <sheet name="Alertas e Insigh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<sst xmlns="http://schemas.openxmlformats.org/spreadsheetml/2006/main" count="90" uniqueCount="78">
  <si>
    <t xml:space="preserve">DADOS BRUTOS — Planejamento 2026 (fonte: Planejamento_2026_Cloud_Ago.xlsx)</t>
  </si>
  <si>
    <t xml:space="preserve">Valores digitados aqui em azul = extraidos da planilha original. Nao editar formulas (preto).</t>
  </si>
  <si>
    <t xml:space="preserve">Categoria</t>
  </si>
  <si>
    <t xml:space="preserve">Estimado/mes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</si>
  <si>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</si>
  <si>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</si>
  <si>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</si>
  <si>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</si>
  <si>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</si>
  <si>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</si>
  <si>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</si>
  <si>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</si>
  <si>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Total Jan-Ago</t>
  </si>
  <si>
    <t xml:space="preserve">% do Total</t>
  </si>
  <si>
    <t xml:space="preserve">Cuidados Pessoais</t>
  </si>
  <si>
    <t xml:space="preserve">Transporte</t>
  </si>
  <si>
    <t xml:space="preserve">Extras</t>
  </si>
  <si>
    <t xml:space="preserve">Moradia</t>
  </si>
  <si>
    <t xml:space="preserve">Lazer</t>
  </si>
  <si>
    <t xml:space="preserve">Educacao</t>
  </si>
  <si>
    <t xml:space="preserve">Impostos</t>
  </si>
  <si>
    <t xml:space="preserve">Assinaturas</t>
  </si>
  <si>
    <t xml:space="preserve">Tarifas Financeiras</t>
  </si>
  <si>
    <t xml:space="preserve">Servicos</t>
  </si>
  <si>
    <t xml:space="preserve">Social</t>
  </si>
  <si>
    <t xml:space="preserve">TOTAL (soma das categorias)</t>
  </si>
  <si>
    <t xml:space="preserve">TOTAL OFICIAL (linha TOTAL da planilha original)</t>
  </si>
  <si>
    <t xml:space="preserve">Divergencia (Soma categorias - Total oficial)</t>
  </si>
  <si>
    <t xml:space="preserve">Total em EUR (conversao fixa da planilha original)</t>
  </si>
  <si>
    <t xml:space="preserve">Cambio implicito (BRL/EUR)</t>
  </si>
  <si>
    <t xml:space="preserve">Total gasto fora do planejado (ano, declarado na planilha original)</t>
  </si>
  <si>
    <t xml:space="preserve">RESUMO EXECUTIVO — Jan a Ago 2026</t>
  </si>
  <si>
    <t xml:space="preserve">Consolidado a partir de Planejamento_2026_Cloud_Ago.xlsx | Atualize a aba 'Dados Brutos' todo mes</t>
  </si>
  <si>
    <t xml:space="preserve">Total gasto (Jan-Ago)</t>
  </si>
  <si>
    <t xml:space="preserve">Media mensal</t>
  </si>
  <si>
    <t xml:space="preserve">Total orcado (estimado x8)</t>
  </si>
  <si>
    <t xml:space="preserve">Estourado vs. orcado</t>
  </si>
  <si>
    <t xml:space="preserve">% acima do orcado</t>
  </si>
  <si>
    <t xml:space="preserve">Mes de maior gasto</t>
  </si>
  <si>
    <t xml:space="preserve">Gasto total fora do planejado no ano (todas as categorias, declarado na planilha original):</t>
  </si>
  <si>
    <t xml:space="preserve">Mes</t>
  </si>
  <si>
    <t xml:space="preserve">Gasto Real</t>
  </si>
  <si>
    <t xml:space="preserve">Orcado</t>
  </si>
  <si>
    <t xml:space="preserve">GASTOS POR CATEGORIA — Jan a Ago 2026 (ordenado por total)</t>
  </si>
  <si>
    <t xml:space="preserve">Media/mes</t>
  </si>
  <si>
    <t xml:space="preserve">Var. vs Estimado (media)</t>
  </si>
  <si>
    <t xml:space="preserve">TOTAL</t>
  </si>
  <si>
    <t xml:space="preserve">ALERTAS, INCONSISTENCIAS E INSIGHTS</t>
  </si>
  <si>
    <t xml:space="preserve">BLIND SPOT CRITICO</t>
  </si>
  <si>
    <t xml:space="preserve">Esta planilha rastreia apenas SAIDAS. Nao ha nenhuma linha de RENDA/ENTRADA.</t>
  </si>
  <si>
    <t xml:space="preserve">Sem receita registrada, nao e possivel calcular taxa de poupanca real, comprometimento</t>
  </si>
  <si>
    <t xml:space="preserve">de renda (%) ou 'saude financeira' de fato -- apenas o volume e padrao de gasto.</t>
  </si>
  <si>
    <t xml:space="preserve">Recomendacao: adicionar uma aba/linha de Receita Mensal (BRL e EUR) antes do proximo ciclo.</t>
  </si>
  <si>
    <t xml:space="preserve">INCONSISTENCIA NUMERICA DETECTADA (Jan-Mar)</t>
  </si>
  <si>
    <t xml:space="preserve">A soma das categorias diverge do TOTAL declarado na planilha original em Jan, Fev e Mar</t>
  </si>
  <si>
    <t xml:space="preserve">(diferencas de R$1.774, R$2.092 e R$1.447 -- ver aba 'Dados Brutos', linha 'Divergencia').</t>
  </si>
  <si>
    <t xml:space="preserve">De Abr a Ago a soma bate exatamente com o total oficial (divergencia zero).</t>
  </si>
  <si>
    <t xml:space="preserve">Recomendacao: auditar formulas/celulas de Jan-Mar na planilha original -- provavel</t>
  </si>
  <si>
    <t xml:space="preserve">categoria ou lancamento fora do range somado pela formula de TOTAL desses 3 meses.</t>
  </si>
  <si>
    <t xml:space="preserve">PICO ATIPICO: TRANSPORTE EM AGOSTO</t>
  </si>
  <si>
    <t xml:space="preserve">Transporte saltou para R$27.237,21 em Agosto (vs. media de R$5.045 nos 7 meses anteriores)</t>
  </si>
  <si>
    <t xml:space="preserve">por conta de 'Aluguel ou compra automovel' de R$25.900,00 -- gasto pontual, nao recorrente.</t>
  </si>
  <si>
    <t xml:space="preserve">Recomendacao: excluir esse valor da projecao de run-rate mensal para nao distorcer o</t>
  </si>
  <si>
    <t xml:space="preserve">orcamento do proximo semestre.</t>
  </si>
  <si>
    <t xml:space="preserve">CATEGORIA 'EXTRAS' OPACA E CRESCENTE</t>
  </si>
  <si>
    <t xml:space="preserve">Extras foi de R$995 (Jan) a R$20.887 (Jul) -- mistura Investimentos, Obra/Reforma e</t>
  </si>
  <si>
    <t xml:space="preserve">'Outros nao identificados' (este ultimo chegou a R$6.428 em Jul).</t>
  </si>
  <si>
    <t xml:space="preserve">Recomendacao: separar em 3 categorias proprias -- Investimentos, Projeto Obra (com</t>
  </si>
  <si>
    <t xml:space="preserve">orcamento e prazo dedicados) e Nao Categorizado (meta: zerar via categorizacao mensal).</t>
  </si>
  <si>
    <t xml:space="preserve">ASSINATURAS DE IA DUPLICADAS</t>
  </si>
  <si>
    <t xml:space="preserve">Claude, ChatGPT, Skip AI e Adapta rodando em paralelo na mesma categoria.</t>
  </si>
  <si>
    <t xml:space="preserve">Recomendacao: mapear uso real de cada uma no ultimo mes e cortar redundancia</t>
  </si>
  <si>
    <t xml:space="preserve">(economia potencial estimada: R$150-400/mes).</t>
  </si>
  <si>
    <t xml:space="preserve">ORCAMENTO (ESTIMADO) DESATUALIZADO</t>
  </si>
  <si>
    <t xml:space="preserve">O total estimado mensal (R$18.436) foi superado em todos os 8 meses, de +21% (Jan) a</t>
  </si>
  <si>
    <t xml:space="preserve">+229% (Jun). Um orcamento estourado 8 de 8 meses nao e uma meta -- e ficcao.</t>
  </si>
  <si>
    <t xml:space="preserve">Recomendacao: recalcular o orcado com base na media real de Jun-Ago (~R$53.319/mes)</t>
  </si>
  <si>
    <t xml:space="preserve">como piso realista, e negociar reducoes categoria a categoria a partir dai.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</si>
</sst>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[RED]\-#,##0.00"/>
    <numFmt numFmtId="166" formatCode="0.0%"/>
    <numFmt numFmtId="167" formatCode="#,##0.00&quot; EUR&quot;"/>
    <numFmt numFmtId="168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991B1B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20"/>
      <color rgb="FF1F2937"/>
      <name val="Arial"/>
      <family val="0"/>
      <charset val="1"/>
    </font>
    <font>
      <b val="true"/>
      <sz val="12"/>
      <color rgb="FF991B1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991B1B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5E7EB"/>
        <bgColor rgb="FFD9D9D9"/>
      </patternFill>
    </fill>
    <fill>
      <patternFill patternType="solid">
        <fgColor rgb="FFFEE2E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AB4744"/>
      <rgbColor rgb="FFFEE2E2"/>
      <rgbColor rgb="FFE5E7EB"/>
      <rgbColor rgb="FF660066"/>
      <rgbColor rgb="FFDC853E"/>
      <rgbColor rgb="FF4672A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2C3D5"/>
      <rgbColor rgb="FFD09493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991B1B"/>
      <rgbColor rgb="FFBE4B48"/>
      <rgbColor rgb="FF6B728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Evolucao do gasto mensal vs orcado (2026)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'Resumo Executivo'!C16</c:f>
              <c:strCache>
                <c:ptCount val="1"/>
                <c:pt idx="0">
                  <c:v>Gasto Real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Executivo'!$B$17:$B$24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'Resumo Executivo'!$C$17:$C$24</c:f>
              <c:numCache>
                <c:formatCode>#,##0.00;[RED]\-#,##0.00</c:formatCode>
                <c:ptCount val="8"/>
                <c:pt idx="0">
                  <c:v>22339</c:v>
                </c:pt>
                <c:pt idx="1">
                  <c:v>30414</c:v>
                </c:pt>
                <c:pt idx="2">
                  <c:v>34384</c:v>
                </c:pt>
                <c:pt idx="3">
                  <c:v>37352.01</c:v>
                </c:pt>
                <c:pt idx="4">
                  <c:v>38374.56</c:v>
                </c:pt>
                <c:pt idx="5">
                  <c:v>60582.69</c:v>
                </c:pt>
                <c:pt idx="6">
                  <c:v>42547.35</c:v>
                </c:pt>
                <c:pt idx="7">
                  <c:v>56828.12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'Resumo Executivo'!D16</c:f>
              <c:strCache>
                <c:ptCount val="1"/>
                <c:pt idx="0">
                  <c:v>Orcado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Executivo'!$B$17:$B$24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'Resumo Executivo'!$D$17:$D$24</c:f>
              <c:numCache>
                <c:formatCode>#,##0.00;[RED]\-#,##0.00</c:formatCode>
                <c:ptCount val="8"/>
                <c:pt idx="0">
                  <c:v>18436</c:v>
                </c:pt>
                <c:pt idx="1">
                  <c:v>18436</c:v>
                </c:pt>
                <c:pt idx="2">
                  <c:v>18436</c:v>
                </c:pt>
                <c:pt idx="3">
                  <c:v>18436</c:v>
                </c:pt>
                <c:pt idx="4">
                  <c:v>18436</c:v>
                </c:pt>
                <c:pt idx="5">
                  <c:v>18436</c:v>
                </c:pt>
                <c:pt idx="6">
                  <c:v>18436</c:v>
                </c:pt>
                <c:pt idx="7">
                  <c:v>18436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865127"/>
        <c:axId val="48212341"/>
      </c:lineChart>
      <c:catAx>
        <c:axId val="728651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12341"/>
        <c:crosses val="autoZero"/>
        <c:auto val="1"/>
        <c:lblAlgn val="ctr"/>
        <c:lblOffset val="100"/>
        <c:noMultiLvlLbl val="0"/>
      </c:catAx>
      <c:valAx>
        <c:axId val="48212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-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651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por categoria (Jan-Ago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 Categoria'!B3</c:f>
              <c:strCache>
                <c:ptCount val="1"/>
                <c:pt idx="0">
                  <c:v>Total Jan-Ago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 Categoria'!$A$4:$A$14</c:f>
              <c:strCache>
                <c:ptCount val="11"/>
                <c:pt idx="0">
                  <c:v>Cuidados Pessoais</c:v>
                </c:pt>
                <c:pt idx="1">
                  <c:v>Transporte</c:v>
                </c:pt>
                <c:pt idx="2">
                  <c:v>Extras</c:v>
                </c:pt>
                <c:pt idx="3">
                  <c:v>Moradia</c:v>
                </c:pt>
                <c:pt idx="4">
                  <c:v>Lazer</c:v>
                </c:pt>
                <c:pt idx="5">
                  <c:v>Educacao</c:v>
                </c:pt>
                <c:pt idx="6">
                  <c:v>Impostos</c:v>
                </c:pt>
                <c:pt idx="7">
                  <c:v>Assinaturas</c:v>
                </c:pt>
                <c:pt idx="8">
                  <c:v>Tarifas Financeiras</c:v>
                </c:pt>
                <c:pt idx="9">
                  <c:v>Servicos</c:v>
                </c:pt>
                <c:pt idx="10">
                  <c:v>Social</c:v>
                </c:pt>
              </c:strCache>
            </c:strRef>
          </c:cat>
          <c:val>
            <c:numRef>
              <c:f>'Por Categoria'!$B$4:$B$14</c:f>
              <c:numCache>
                <c:formatCode>#,##0.00;[RED]\-#,##0.00</c:formatCode>
                <c:ptCount val="11"/>
                <c:pt idx="0">
                  <c:v>81533.41</c:v>
                </c:pt>
                <c:pt idx="1">
                  <c:v>63023.73</c:v>
                </c:pt>
                <c:pt idx="2">
                  <c:v>56659.96</c:v>
                </c:pt>
                <c:pt idx="3">
                  <c:v>44434.29</c:v>
                </c:pt>
                <c:pt idx="4">
                  <c:v>40158</c:v>
                </c:pt>
                <c:pt idx="5">
                  <c:v>16645.18</c:v>
                </c:pt>
                <c:pt idx="6">
                  <c:v>7849.58</c:v>
                </c:pt>
                <c:pt idx="7">
                  <c:v>7784.17</c:v>
                </c:pt>
                <c:pt idx="8">
                  <c:v>4607.7</c:v>
                </c:pt>
                <c:pt idx="9">
                  <c:v>2929.03</c:v>
                </c:pt>
                <c:pt idx="10">
                  <c:v>2509.68</c:v>
                </c:pt>
              </c:numCache>
            </c:numRef>
          </c:val>
        </c:ser>
        <c:gapWidth val="150"/>
        <c:overlap val="0"/>
        <c:axId val="78580369"/>
        <c:axId val="63901637"/>
      </c:barChart>
      <c:catAx>
        <c:axId val="78580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01637"/>
        <c:crosses val="autoZero"/>
        <c:auto val="1"/>
        <c:lblAlgn val="ctr"/>
        <c:lblOffset val="100"/>
        <c:noMultiLvlLbl val="0"/>
      </c:catAx>
      <c:valAx>
        <c:axId val="63901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-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803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Participacao %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'Por Categoria'!B3</c:f>
              <c:strCache>
                <c:ptCount val="1"/>
                <c:pt idx="0">
                  <c:v>Total Jan-Ago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'Por Categoria'!$A$4:$A$14</c:f>
              <c:strCache>
                <c:ptCount val="11"/>
                <c:pt idx="0">
                  <c:v>Cuidados Pessoais</c:v>
                </c:pt>
                <c:pt idx="1">
                  <c:v>Transporte</c:v>
                </c:pt>
                <c:pt idx="2">
                  <c:v>Extras</c:v>
                </c:pt>
                <c:pt idx="3">
                  <c:v>Moradia</c:v>
                </c:pt>
                <c:pt idx="4">
                  <c:v>Lazer</c:v>
                </c:pt>
                <c:pt idx="5">
                  <c:v>Educacao</c:v>
                </c:pt>
                <c:pt idx="6">
                  <c:v>Impostos</c:v>
                </c:pt>
                <c:pt idx="7">
                  <c:v>Assinaturas</c:v>
                </c:pt>
                <c:pt idx="8">
                  <c:v>Tarifas Financeiras</c:v>
                </c:pt>
                <c:pt idx="9">
                  <c:v>Servicos</c:v>
                </c:pt>
                <c:pt idx="10">
                  <c:v>Social</c:v>
                </c:pt>
              </c:strCache>
            </c:strRef>
          </c:cat>
          <c:val>
            <c:numRef>
              <c:f>'Por Categoria'!$B$4:$B$14</c:f>
              <c:numCache>
                <c:formatCode>#,##0.00;[RED]\-#,##0.00</c:formatCode>
                <c:ptCount val="11"/>
                <c:pt idx="0">
                  <c:v>81533.41</c:v>
                </c:pt>
                <c:pt idx="1">
                  <c:v>63023.73</c:v>
                </c:pt>
                <c:pt idx="2">
                  <c:v>56659.96</c:v>
                </c:pt>
                <c:pt idx="3">
                  <c:v>44434.29</c:v>
                </c:pt>
                <c:pt idx="4">
                  <c:v>40158</c:v>
                </c:pt>
                <c:pt idx="5">
                  <c:v>16645.18</c:v>
                </c:pt>
                <c:pt idx="6">
                  <c:v>7849.58</c:v>
                </c:pt>
                <c:pt idx="7">
                  <c:v>7784.17</c:v>
                </c:pt>
                <c:pt idx="8">
                  <c:v>4607.7</c:v>
                </c:pt>
                <c:pt idx="9">
                  <c:v>2929.03</c:v>
                </c:pt>
                <c:pt idx="10">
                  <c:v>2509.68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81360</xdr:rowOff>
    </xdr:from>
    <xdr:to>
      <xdr:col>6</xdr:col>
      <xdr:colOff>840600</xdr:colOff>
      <xdr:row>36</xdr:row>
      <xdr:rowOff>82440</xdr:rowOff>
    </xdr:to>
    <xdr:graphicFrame>
      <xdr:nvGraphicFramePr>
        <xdr:cNvPr id="0" name="Chart 1"/>
        <xdr:cNvGraphicFramePr/>
      </xdr:nvGraphicFramePr>
      <xdr:xfrm>
        <a:off x="21132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130680</xdr:rowOff>
    </xdr:from>
    <xdr:to>
      <xdr:col>5</xdr:col>
      <xdr:colOff>996840</xdr:colOff>
      <xdr:row>36</xdr:row>
      <xdr:rowOff>110880</xdr:rowOff>
    </xdr:to>
    <xdr:graphicFrame>
      <xdr:nvGraphicFramePr>
        <xdr:cNvPr id="1" name="Chart 1"/>
        <xdr:cNvGraphicFramePr/>
      </xdr:nvGraphicFramePr>
      <xdr:xfrm>
        <a:off x="0" y="342900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130680</xdr:rowOff>
    </xdr:from>
    <xdr:to>
      <xdr:col>15</xdr:col>
      <xdr:colOff>147600</xdr:colOff>
      <xdr:row>36</xdr:row>
      <xdr:rowOff>110880</xdr:rowOff>
    </xdr:to>
    <xdr:graphicFrame>
      <xdr:nvGraphicFramePr>
        <xdr:cNvPr id="2" name="Chart 2"/>
        <xdr:cNvGraphicFramePr/>
      </xdr:nvGraphicFramePr>
      <xdr:xfrm>
        <a:off x="7941960" y="34290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10" min="3" style="0" width="13"/>
    <col collapsed="false" customWidth="true" hidden="false" outlineLevel="0" max="11" min="11" style="0" width="14"/>
    <col collapsed="false" customWidth="true" hidden="false" outlineLevel="0" max="12" min="12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n">
        <v>4539</v>
      </c>
      <c r="C5" s="5" t="n">
        <v>4399</v>
      </c>
      <c r="D5" s="5" t="n">
        <v>13271</v>
      </c>
      <c r="E5" s="5" t="n">
        <v>13714</v>
      </c>
      <c r="F5" s="5" t="n">
        <v>11670.78</v>
      </c>
      <c r="G5" s="5" t="n">
        <v>7811.65</v>
      </c>
      <c r="H5" s="5" t="n">
        <v>19448.56</v>
      </c>
      <c r="I5" s="5" t="n">
        <v>4789.33</v>
      </c>
      <c r="J5" s="5" t="n">
        <v>6429.09</v>
      </c>
      <c r="K5" s="6" t="n">
        <f aca="false">SUM(C5:J5)</f>
        <v>81533.41</v>
      </c>
      <c r="L5" s="7" t="n">
        <f aca="false">K5/$K$17</f>
        <v>0.248475405209318</v>
      </c>
    </row>
    <row r="6" customFormat="false" ht="15" hidden="false" customHeight="false" outlineLevel="0" collapsed="false">
      <c r="A6" s="4" t="s">
        <v>15</v>
      </c>
      <c r="B6" s="5" t="n">
        <v>2358</v>
      </c>
      <c r="C6" s="5" t="n">
        <v>1639</v>
      </c>
      <c r="D6" s="5" t="n">
        <v>1672</v>
      </c>
      <c r="E6" s="5" t="n">
        <v>3926</v>
      </c>
      <c r="F6" s="5" t="n">
        <v>3979.92</v>
      </c>
      <c r="G6" s="5" t="n">
        <v>5650.86</v>
      </c>
      <c r="H6" s="5" t="n">
        <v>13043.42</v>
      </c>
      <c r="I6" s="5" t="n">
        <v>5875.32</v>
      </c>
      <c r="J6" s="5" t="n">
        <v>27237.21</v>
      </c>
      <c r="K6" s="6" t="n">
        <f aca="false">SUM(C6:J6)</f>
        <v>63023.73</v>
      </c>
      <c r="L6" s="7" t="n">
        <f aca="false">K6/$K$17</f>
        <v>0.192066624584359</v>
      </c>
    </row>
    <row r="7" customFormat="false" ht="15" hidden="false" customHeight="false" outlineLevel="0" collapsed="false">
      <c r="A7" s="4" t="s">
        <v>16</v>
      </c>
      <c r="B7" s="5" t="n">
        <v>300</v>
      </c>
      <c r="C7" s="5" t="n">
        <v>995</v>
      </c>
      <c r="D7" s="5" t="n">
        <v>1908</v>
      </c>
      <c r="E7" s="5" t="n">
        <v>820</v>
      </c>
      <c r="F7" s="5" t="n">
        <v>7399.96</v>
      </c>
      <c r="G7" s="5" t="n">
        <v>9185.33</v>
      </c>
      <c r="H7" s="5" t="n">
        <v>7021.01</v>
      </c>
      <c r="I7" s="5" t="n">
        <v>20887.18</v>
      </c>
      <c r="J7" s="5" t="n">
        <v>8443.48</v>
      </c>
      <c r="K7" s="6" t="n">
        <f aca="false">SUM(C7:J7)</f>
        <v>56659.96</v>
      </c>
      <c r="L7" s="7" t="n">
        <f aca="false">K7/$K$17</f>
        <v>0.172672853007666</v>
      </c>
    </row>
    <row r="8" customFormat="false" ht="15" hidden="false" customHeight="false" outlineLevel="0" collapsed="false">
      <c r="A8" s="4" t="s">
        <v>17</v>
      </c>
      <c r="B8" s="5" t="n">
        <v>4476</v>
      </c>
      <c r="C8" s="5" t="n">
        <v>8056</v>
      </c>
      <c r="D8" s="5" t="n">
        <v>6016</v>
      </c>
      <c r="E8" s="5" t="n">
        <v>4951</v>
      </c>
      <c r="F8" s="5" t="n">
        <v>6273.56</v>
      </c>
      <c r="G8" s="5" t="n">
        <v>5175.95</v>
      </c>
      <c r="H8" s="5" t="n">
        <v>7602.44</v>
      </c>
      <c r="I8" s="5" t="n">
        <v>3700.75</v>
      </c>
      <c r="J8" s="5" t="n">
        <v>2658.59</v>
      </c>
      <c r="K8" s="6" t="n">
        <f aca="false">SUM(C8:J8)</f>
        <v>44434.29</v>
      </c>
      <c r="L8" s="7" t="n">
        <f aca="false">K8/$K$17</f>
        <v>0.135414773072024</v>
      </c>
    </row>
    <row r="9" customFormat="false" ht="15" hidden="false" customHeight="false" outlineLevel="0" collapsed="false">
      <c r="A9" s="4" t="s">
        <v>18</v>
      </c>
      <c r="B9" s="5" t="n">
        <v>3600</v>
      </c>
      <c r="C9" s="5" t="n">
        <v>5269</v>
      </c>
      <c r="D9" s="5" t="n">
        <v>5889</v>
      </c>
      <c r="E9" s="5" t="n">
        <v>3721</v>
      </c>
      <c r="F9" s="5" t="n">
        <v>4721.71</v>
      </c>
      <c r="G9" s="5" t="n">
        <v>4608.4</v>
      </c>
      <c r="H9" s="5" t="n">
        <v>7985.84</v>
      </c>
      <c r="I9" s="5" t="n">
        <v>2633.79</v>
      </c>
      <c r="J9" s="5" t="n">
        <v>5329.26</v>
      </c>
      <c r="K9" s="6" t="n">
        <f aca="false">SUM(C9:J9)</f>
        <v>40158</v>
      </c>
      <c r="L9" s="7" t="n">
        <f aca="false">K9/$K$17</f>
        <v>0.122382656660574</v>
      </c>
    </row>
    <row r="10" customFormat="false" ht="15" hidden="false" customHeight="false" outlineLevel="0" collapsed="false">
      <c r="A10" s="4" t="s">
        <v>19</v>
      </c>
      <c r="B10" s="5" t="n">
        <v>1880</v>
      </c>
      <c r="C10" s="5" t="n">
        <v>1828</v>
      </c>
      <c r="D10" s="5" t="n">
        <v>1862</v>
      </c>
      <c r="E10" s="5" t="n">
        <v>4420</v>
      </c>
      <c r="F10" s="5" t="n">
        <v>776.5</v>
      </c>
      <c r="G10" s="5" t="n">
        <v>3276.81</v>
      </c>
      <c r="H10" s="5" t="n">
        <v>1013.13</v>
      </c>
      <c r="I10" s="5" t="n">
        <v>1064.13</v>
      </c>
      <c r="J10" s="5" t="n">
        <v>2404.61</v>
      </c>
      <c r="K10" s="6" t="n">
        <f aca="false">SUM(C10:J10)</f>
        <v>16645.18</v>
      </c>
      <c r="L10" s="7" t="n">
        <f aca="false">K10/$K$17</f>
        <v>0.0507266634043888</v>
      </c>
    </row>
    <row r="11" customFormat="false" ht="15" hidden="false" customHeight="false" outlineLevel="0" collapsed="false">
      <c r="A11" s="4" t="s">
        <v>20</v>
      </c>
      <c r="B11" s="5" t="n">
        <v>812</v>
      </c>
      <c r="C11" s="5" t="n">
        <v>812</v>
      </c>
      <c r="D11" s="5" t="n">
        <v>815</v>
      </c>
      <c r="E11" s="5" t="n">
        <v>293</v>
      </c>
      <c r="F11" s="5" t="n">
        <v>128</v>
      </c>
      <c r="G11" s="5" t="n">
        <v>1204.92</v>
      </c>
      <c r="H11" s="5" t="n">
        <v>2152.15</v>
      </c>
      <c r="I11" s="5" t="n">
        <v>1204.92</v>
      </c>
      <c r="J11" s="5" t="n">
        <v>1239.59</v>
      </c>
      <c r="K11" s="6" t="n">
        <f aca="false">SUM(C11:J11)</f>
        <v>7849.58</v>
      </c>
      <c r="L11" s="7" t="n">
        <f aca="false">K11/$K$17</f>
        <v>0.0239218201621023</v>
      </c>
    </row>
    <row r="12" customFormat="false" ht="15" hidden="false" customHeight="false" outlineLevel="0" collapsed="false">
      <c r="A12" s="4" t="s">
        <v>21</v>
      </c>
      <c r="B12" s="5" t="n">
        <v>371</v>
      </c>
      <c r="C12" s="5" t="n">
        <v>336</v>
      </c>
      <c r="D12" s="5" t="n">
        <v>336</v>
      </c>
      <c r="E12" s="5" t="n">
        <v>2959</v>
      </c>
      <c r="F12" s="5" t="n">
        <v>567.17</v>
      </c>
      <c r="G12" s="5" t="n">
        <v>1148.77</v>
      </c>
      <c r="H12" s="5" t="n">
        <v>575.57</v>
      </c>
      <c r="I12" s="5" t="n">
        <v>650.56</v>
      </c>
      <c r="J12" s="5" t="n">
        <v>1211.1</v>
      </c>
      <c r="K12" s="6" t="n">
        <f aca="false">SUM(C12:J12)</f>
        <v>7784.17</v>
      </c>
      <c r="L12" s="7" t="n">
        <f aca="false">K12/$K$17</f>
        <v>0.0237224813112589</v>
      </c>
    </row>
    <row r="13" customFormat="false" ht="15" hidden="false" customHeight="false" outlineLevel="0" collapsed="false">
      <c r="A13" s="4" t="s">
        <v>22</v>
      </c>
      <c r="B13" s="5" t="n">
        <v>319</v>
      </c>
      <c r="C13" s="5" t="n">
        <v>319</v>
      </c>
      <c r="D13" s="5" t="n">
        <v>119</v>
      </c>
      <c r="E13" s="5" t="n">
        <v>322</v>
      </c>
      <c r="F13" s="5" t="n">
        <v>160.26</v>
      </c>
      <c r="G13" s="5" t="n">
        <v>224.12</v>
      </c>
      <c r="H13" s="5" t="n">
        <v>359.88</v>
      </c>
      <c r="I13" s="5" t="n">
        <v>1653.62</v>
      </c>
      <c r="J13" s="5" t="n">
        <v>1449.82</v>
      </c>
      <c r="K13" s="6" t="n">
        <f aca="false">SUM(C13:J13)</f>
        <v>4607.7</v>
      </c>
      <c r="L13" s="7" t="n">
        <f aca="false">K13/$K$17</f>
        <v>0.0140420978907048</v>
      </c>
    </row>
    <row r="14" customFormat="false" ht="15" hidden="false" customHeight="false" outlineLevel="0" collapsed="false">
      <c r="A14" s="4" t="s">
        <v>23</v>
      </c>
      <c r="B14" s="5" t="n">
        <v>460</v>
      </c>
      <c r="C14" s="5" t="n">
        <v>460</v>
      </c>
      <c r="D14" s="5" t="n">
        <v>65</v>
      </c>
      <c r="E14" s="5" t="n">
        <v>305</v>
      </c>
      <c r="F14" s="5" t="n">
        <v>1351.09</v>
      </c>
      <c r="G14" s="5" t="n">
        <v>0</v>
      </c>
      <c r="H14" s="5" t="n">
        <v>747.94</v>
      </c>
      <c r="I14" s="5" t="n">
        <v>0</v>
      </c>
      <c r="J14" s="5" t="n">
        <v>0</v>
      </c>
      <c r="K14" s="6" t="n">
        <f aca="false">SUM(C14:J14)</f>
        <v>2929.03</v>
      </c>
      <c r="L14" s="7" t="n">
        <f aca="false">K14/$K$17</f>
        <v>0.00892630292441157</v>
      </c>
    </row>
    <row r="15" customFormat="false" ht="15" hidden="false" customHeight="false" outlineLevel="0" collapsed="false">
      <c r="A15" s="4" t="s">
        <v>24</v>
      </c>
      <c r="B15" s="5" t="n">
        <v>400</v>
      </c>
      <c r="C15" s="5" t="n">
        <v>0</v>
      </c>
      <c r="D15" s="5" t="n">
        <v>553</v>
      </c>
      <c r="E15" s="5" t="n">
        <v>400</v>
      </c>
      <c r="F15" s="5" t="n">
        <v>323.06</v>
      </c>
      <c r="G15" s="5" t="n">
        <v>87.75</v>
      </c>
      <c r="H15" s="5" t="n">
        <v>632.75</v>
      </c>
      <c r="I15" s="5" t="n">
        <v>87.75</v>
      </c>
      <c r="J15" s="5" t="n">
        <v>425.37</v>
      </c>
      <c r="K15" s="6" t="n">
        <f aca="false">SUM(C15:J15)</f>
        <v>2509.68</v>
      </c>
      <c r="L15" s="7" t="n">
        <f aca="false">K15/$K$17</f>
        <v>0.00764832177319359</v>
      </c>
    </row>
    <row r="17" customFormat="false" ht="15" hidden="false" customHeight="false" outlineLevel="0" collapsed="false">
      <c r="A17" s="8" t="s">
        <v>25</v>
      </c>
      <c r="B17" s="9" t="n">
        <f aca="false">SUM(B5:B15)</f>
        <v>19515</v>
      </c>
      <c r="C17" s="10" t="n">
        <f aca="false">SUM(C5:C15)</f>
        <v>24113</v>
      </c>
      <c r="D17" s="10" t="n">
        <f aca="false">SUM(D5:D15)</f>
        <v>32506</v>
      </c>
      <c r="E17" s="10" t="n">
        <f aca="false">SUM(E5:E15)</f>
        <v>35831</v>
      </c>
      <c r="F17" s="10" t="n">
        <f aca="false">SUM(F5:F15)</f>
        <v>37352.01</v>
      </c>
      <c r="G17" s="10" t="n">
        <f aca="false">SUM(G5:G15)</f>
        <v>38374.56</v>
      </c>
      <c r="H17" s="10" t="n">
        <f aca="false">SUM(H5:H15)</f>
        <v>60582.69</v>
      </c>
      <c r="I17" s="10" t="n">
        <f aca="false">SUM(I5:I15)</f>
        <v>42547.35</v>
      </c>
      <c r="J17" s="10" t="n">
        <f aca="false">SUM(J5:J15)</f>
        <v>56828.12</v>
      </c>
      <c r="K17" s="10" t="n">
        <f aca="false">SUM(K5:K15)</f>
        <v>328134.73</v>
      </c>
    </row>
    <row r="19" customFormat="false" ht="15" hidden="false" customHeight="false" outlineLevel="0" collapsed="false">
      <c r="A19" s="11" t="s">
        <v>26</v>
      </c>
      <c r="B19" s="12" t="n">
        <v>18436</v>
      </c>
      <c r="C19" s="12" t="n">
        <v>22339</v>
      </c>
      <c r="D19" s="12" t="n">
        <v>30414</v>
      </c>
      <c r="E19" s="12" t="n">
        <v>34384</v>
      </c>
      <c r="F19" s="12" t="n">
        <v>37352.01</v>
      </c>
      <c r="G19" s="12" t="n">
        <v>38374.56</v>
      </c>
      <c r="H19" s="12" t="n">
        <v>60582.69</v>
      </c>
      <c r="I19" s="12" t="n">
        <v>42547.35</v>
      </c>
      <c r="J19" s="12" t="n">
        <v>56828.12</v>
      </c>
      <c r="K19" s="9" t="n">
        <f aca="false">SUM(C19:J19)</f>
        <v>322821.73</v>
      </c>
    </row>
    <row r="20" customFormat="false" ht="15" hidden="false" customHeight="false" outlineLevel="0" collapsed="false">
      <c r="A20" s="13" t="s">
        <v>27</v>
      </c>
      <c r="C20" s="14" t="n">
        <f aca="false">C17-C19</f>
        <v>1774</v>
      </c>
      <c r="D20" s="14" t="n">
        <f aca="false">D17-D19</f>
        <v>2092</v>
      </c>
      <c r="E20" s="14" t="n">
        <f aca="false">E17-E19</f>
        <v>1447</v>
      </c>
      <c r="F20" s="14" t="n">
        <f aca="false">F17-F19</f>
        <v>0</v>
      </c>
      <c r="G20" s="14" t="n">
        <f aca="false">G17-G19</f>
        <v>0</v>
      </c>
      <c r="H20" s="14" t="n">
        <f aca="false">H17-H19</f>
        <v>0</v>
      </c>
      <c r="I20" s="14" t="n">
        <f aca="false">I17-I19</f>
        <v>0</v>
      </c>
      <c r="J20" s="14" t="n">
        <f aca="false">J17-J19</f>
        <v>0</v>
      </c>
      <c r="K20" s="14" t="n">
        <f aca="false">K17-K19</f>
        <v>5313</v>
      </c>
    </row>
    <row r="22" customFormat="false" ht="15" hidden="false" customHeight="false" outlineLevel="0" collapsed="false">
      <c r="A22" s="11" t="s">
        <v>28</v>
      </c>
      <c r="C22" s="15" t="n">
        <v>3723.17</v>
      </c>
      <c r="D22" s="15" t="n">
        <v>5069</v>
      </c>
      <c r="E22" s="15" t="n">
        <v>5730.67</v>
      </c>
      <c r="F22" s="15" t="n">
        <v>6225.34</v>
      </c>
      <c r="G22" s="15" t="n">
        <v>6395.76</v>
      </c>
      <c r="H22" s="15" t="n">
        <v>10097.12</v>
      </c>
      <c r="I22" s="15" t="n">
        <v>7091.23</v>
      </c>
      <c r="J22" s="15" t="n">
        <v>9471.35</v>
      </c>
    </row>
    <row r="23" customFormat="false" ht="15" hidden="false" customHeight="false" outlineLevel="0" collapsed="false">
      <c r="A23" s="11" t="s">
        <v>29</v>
      </c>
      <c r="C23" s="16" t="n">
        <f aca="false">C19/C22</f>
        <v>5.99999462823347</v>
      </c>
      <c r="D23" s="16" t="n">
        <f aca="false">D19/D22</f>
        <v>6</v>
      </c>
      <c r="E23" s="16" t="n">
        <f aca="false">E19/E22</f>
        <v>5.99999651000668</v>
      </c>
      <c r="F23" s="16" t="n">
        <f aca="false">F19/F22</f>
        <v>5.9999951809861</v>
      </c>
      <c r="G23" s="16" t="n">
        <f aca="false">G19/G22</f>
        <v>6</v>
      </c>
      <c r="H23" s="16" t="n">
        <f aca="false">H19/H22</f>
        <v>5.99999702885575</v>
      </c>
      <c r="I23" s="16" t="n">
        <f aca="false">I19/I22</f>
        <v>5.99999576942223</v>
      </c>
      <c r="J23" s="16" t="n">
        <f aca="false">J19/J22</f>
        <v>6.00000211163139</v>
      </c>
    </row>
    <row r="25" customFormat="false" ht="15" hidden="false" customHeight="false" outlineLevel="0" collapsed="false">
      <c r="A25" s="11" t="s">
        <v>30</v>
      </c>
      <c r="B25" s="12" t="n">
        <v>175333.73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16"/>
  </cols>
  <sheetData>
    <row r="2" customFormat="false" ht="19.7" hidden="false" customHeight="false" outlineLevel="0" collapsed="false">
      <c r="B2" s="1" t="s">
        <v>31</v>
      </c>
    </row>
    <row r="3" customFormat="false" ht="15" hidden="false" customHeight="false" outlineLevel="0" collapsed="false">
      <c r="B3" s="2" t="s">
        <v>32</v>
      </c>
    </row>
    <row r="5" customFormat="false" ht="15" hidden="false" customHeight="false" outlineLevel="0" collapsed="false">
      <c r="B5" s="17" t="s">
        <v>33</v>
      </c>
      <c r="D5" s="17" t="s">
        <v>34</v>
      </c>
      <c r="F5" s="17" t="s">
        <v>35</v>
      </c>
    </row>
    <row r="6" customFormat="false" ht="24.45" hidden="false" customHeight="false" outlineLevel="0" collapsed="false">
      <c r="B6" s="18" t="n">
        <f aca="false">'Dados Brutos'!K19</f>
        <v>322821.73</v>
      </c>
      <c r="D6" s="18" t="n">
        <f aca="false">'Dados Brutos'!K19/8</f>
        <v>40352.71625</v>
      </c>
      <c r="F6" s="18" t="n">
        <f aca="false">'Dados Brutos'!B19*8</f>
        <v>147488</v>
      </c>
    </row>
    <row r="9" customFormat="false" ht="15" hidden="false" customHeight="false" outlineLevel="0" collapsed="false">
      <c r="B9" s="17" t="s">
        <v>36</v>
      </c>
      <c r="D9" s="17" t="s">
        <v>37</v>
      </c>
      <c r="F9" s="17" t="s">
        <v>38</v>
      </c>
    </row>
    <row r="10" customFormat="false" ht="24.45" hidden="false" customHeight="false" outlineLevel="0" collapsed="false">
      <c r="B10" s="18" t="n">
        <f aca="false">'Dados Brutos'!K19-('Dados Brutos'!B19*8)</f>
        <v>175333.73</v>
      </c>
      <c r="D10" s="19" t="n">
        <f aca="false">('Dados Brutos'!K19-('Dados Brutos'!B19*8))/('Dados Brutos'!B19*8)</f>
        <v>1.18879997016706</v>
      </c>
      <c r="F10" s="20" t="str">
        <f aca="false">INDEX('Dados Brutos'!C4:J4,MATCH(MAX('Dados Brutos'!C19:J19),'Dados Brutos'!C19:J19,0))</f>
        <v>Jun</v>
      </c>
    </row>
    <row r="13" customFormat="false" ht="15" hidden="false" customHeight="false" outlineLevel="0" collapsed="false">
      <c r="B13" s="11" t="s">
        <v>39</v>
      </c>
      <c r="F13" s="21" t="n">
        <f aca="false">'Dados Brutos'!B25</f>
        <v>175333.73</v>
      </c>
    </row>
    <row r="16" customFormat="false" ht="15" hidden="false" customHeight="false" outlineLevel="0" collapsed="false">
      <c r="B16" s="3" t="s">
        <v>40</v>
      </c>
      <c r="C16" s="3" t="s">
        <v>41</v>
      </c>
      <c r="D16" s="3" t="s">
        <v>42</v>
      </c>
    </row>
    <row r="17" customFormat="false" ht="15" hidden="false" customHeight="false" outlineLevel="0" collapsed="false">
      <c r="B17" s="22" t="s">
        <v>4</v>
      </c>
      <c r="C17" s="23" t="n">
        <f aca="false">'Dados Brutos'!C19</f>
        <v>22339</v>
      </c>
      <c r="D17" s="23" t="n">
        <f aca="false">'Dados Brutos'!B19</f>
        <v>18436</v>
      </c>
    </row>
    <row r="18" customFormat="false" ht="15" hidden="false" customHeight="false" outlineLevel="0" collapsed="false">
      <c r="B18" s="22" t="s">
        <v>5</v>
      </c>
      <c r="C18" s="23" t="n">
        <f aca="false">'Dados Brutos'!D19</f>
        <v>30414</v>
      </c>
      <c r="D18" s="23" t="n">
        <f aca="false">'Dados Brutos'!B19</f>
        <v>18436</v>
      </c>
    </row>
    <row r="19" customFormat="false" ht="15" hidden="false" customHeight="false" outlineLevel="0" collapsed="false">
      <c r="B19" s="22" t="s">
        <v>6</v>
      </c>
      <c r="C19" s="23" t="n">
        <f aca="false">'Dados Brutos'!E19</f>
        <v>34384</v>
      </c>
      <c r="D19" s="23" t="n">
        <f aca="false">'Dados Brutos'!B19</f>
        <v>18436</v>
      </c>
    </row>
    <row r="20" customFormat="false" ht="15" hidden="false" customHeight="false" outlineLevel="0" collapsed="false">
      <c r="B20" s="22" t="s">
        <v>7</v>
      </c>
      <c r="C20" s="23" t="n">
        <f aca="false">'Dados Brutos'!F19</f>
        <v>37352.01</v>
      </c>
      <c r="D20" s="23" t="n">
        <f aca="false">'Dados Brutos'!B19</f>
        <v>18436</v>
      </c>
    </row>
    <row r="21" customFormat="false" ht="15" hidden="false" customHeight="false" outlineLevel="0" collapsed="false">
      <c r="B21" s="22" t="s">
        <v>8</v>
      </c>
      <c r="C21" s="23" t="n">
        <f aca="false">'Dados Brutos'!G19</f>
        <v>38374.56</v>
      </c>
      <c r="D21" s="23" t="n">
        <f aca="false">'Dados Brutos'!B19</f>
        <v>18436</v>
      </c>
    </row>
    <row r="22" customFormat="false" ht="15" hidden="false" customHeight="false" outlineLevel="0" collapsed="false">
      <c r="B22" s="22" t="s">
        <v>9</v>
      </c>
      <c r="C22" s="23" t="n">
        <f aca="false">'Dados Brutos'!H19</f>
        <v>60582.69</v>
      </c>
      <c r="D22" s="23" t="n">
        <f aca="false">'Dados Brutos'!B19</f>
        <v>18436</v>
      </c>
    </row>
    <row r="23" customFormat="false" ht="15" hidden="false" customHeight="false" outlineLevel="0" collapsed="false">
      <c r="B23" s="22" t="s">
        <v>10</v>
      </c>
      <c r="C23" s="23" t="n">
        <f aca="false">'Dados Brutos'!I19</f>
        <v>42547.35</v>
      </c>
      <c r="D23" s="23" t="n">
        <f aca="false">'Dados Brutos'!B19</f>
        <v>18436</v>
      </c>
    </row>
    <row r="24" customFormat="false" ht="15" hidden="false" customHeight="false" outlineLevel="0" collapsed="false">
      <c r="B24" s="22" t="s">
        <v>11</v>
      </c>
      <c r="C24" s="23" t="n">
        <f aca="false">'Dados Brutos'!J19</f>
        <v>56828.12</v>
      </c>
      <c r="D24" s="23" t="n">
        <f aca="false">'Dados Brutos'!B19</f>
        <v>18436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6"/>
  </cols>
  <sheetData>
    <row r="1" customFormat="false" ht="19.7" hidden="false" customHeight="false" outlineLevel="0" collapsed="false">
      <c r="A1" s="1" t="s">
        <v>43</v>
      </c>
    </row>
    <row r="3" customFormat="false" ht="15" hidden="false" customHeight="false" outlineLevel="0" collapsed="false">
      <c r="A3" s="3" t="s">
        <v>2</v>
      </c>
      <c r="B3" s="3" t="s">
        <v>12</v>
      </c>
      <c r="C3" s="3" t="s">
        <v>13</v>
      </c>
      <c r="D3" s="3" t="s">
        <v>44</v>
      </c>
      <c r="E3" s="3" t="s">
        <v>3</v>
      </c>
      <c r="F3" s="3" t="s">
        <v>45</v>
      </c>
    </row>
    <row r="4" customFormat="false" ht="15" hidden="false" customHeight="false" outlineLevel="0" collapsed="false">
      <c r="A4" s="22" t="str">
        <f aca="false">'Dados Brutos'!A5</f>
        <v>Cuidados Pessoais</v>
      </c>
      <c r="B4" s="23" t="n">
        <f aca="false">'Dados Brutos'!K5</f>
        <v>81533.41</v>
      </c>
      <c r="C4" s="24" t="n">
        <f aca="false">'Dados Brutos'!K5/'Dados Brutos'!K$19</f>
        <v>0.25256481340336</v>
      </c>
      <c r="D4" s="23" t="n">
        <f aca="false">'Dados Brutos'!K5/8</f>
        <v>10191.67625</v>
      </c>
      <c r="E4" s="23" t="n">
        <f aca="false">'Dados Brutos'!B5</f>
        <v>4539</v>
      </c>
      <c r="F4" s="24" t="n">
        <f aca="false">(D4-E4)/E4</f>
        <v>1.24535718219872</v>
      </c>
    </row>
    <row r="5" customFormat="false" ht="15" hidden="false" customHeight="false" outlineLevel="0" collapsed="false">
      <c r="A5" s="22" t="str">
        <f aca="false">'Dados Brutos'!A6</f>
        <v>Transporte</v>
      </c>
      <c r="B5" s="23" t="n">
        <f aca="false">'Dados Brutos'!K6</f>
        <v>63023.73</v>
      </c>
      <c r="C5" s="24" t="n">
        <f aca="false">'Dados Brutos'!K6/'Dados Brutos'!K$19</f>
        <v>0.195227657072527</v>
      </c>
      <c r="D5" s="23" t="n">
        <f aca="false">'Dados Brutos'!K6/8</f>
        <v>7877.96625</v>
      </c>
      <c r="E5" s="23" t="n">
        <f aca="false">'Dados Brutos'!B6</f>
        <v>2358</v>
      </c>
      <c r="F5" s="24" t="n">
        <f aca="false">(D5-E5)/E5</f>
        <v>2.34095260814249</v>
      </c>
    </row>
    <row r="6" customFormat="false" ht="15" hidden="false" customHeight="false" outlineLevel="0" collapsed="false">
      <c r="A6" s="22" t="str">
        <f aca="false">'Dados Brutos'!A7</f>
        <v>Extras</v>
      </c>
      <c r="B6" s="23" t="n">
        <f aca="false">'Dados Brutos'!K7</f>
        <v>56659.96</v>
      </c>
      <c r="C6" s="24" t="n">
        <f aca="false">'Dados Brutos'!K7/'Dados Brutos'!K$19</f>
        <v>0.175514702805167</v>
      </c>
      <c r="D6" s="23" t="n">
        <f aca="false">'Dados Brutos'!K7/8</f>
        <v>7082.495</v>
      </c>
      <c r="E6" s="23" t="n">
        <f aca="false">'Dados Brutos'!B7</f>
        <v>300</v>
      </c>
      <c r="F6" s="24" t="n">
        <f aca="false">(D6-E6)/E6</f>
        <v>22.6083166666667</v>
      </c>
    </row>
    <row r="7" customFormat="false" ht="15" hidden="false" customHeight="false" outlineLevel="0" collapsed="false">
      <c r="A7" s="22" t="str">
        <f aca="false">'Dados Brutos'!A8</f>
        <v>Moradia</v>
      </c>
      <c r="B7" s="23" t="n">
        <f aca="false">'Dados Brutos'!K8</f>
        <v>44434.29</v>
      </c>
      <c r="C7" s="24" t="n">
        <f aca="false">'Dados Brutos'!K8/'Dados Brutos'!K$19</f>
        <v>0.137643429393678</v>
      </c>
      <c r="D7" s="23" t="n">
        <f aca="false">'Dados Brutos'!K8/8</f>
        <v>5554.28625</v>
      </c>
      <c r="E7" s="23" t="n">
        <f aca="false">'Dados Brutos'!B8</f>
        <v>4476</v>
      </c>
      <c r="F7" s="24" t="n">
        <f aca="false">(D7-E7)/E7</f>
        <v>0.240903987935657</v>
      </c>
    </row>
    <row r="8" customFormat="false" ht="15" hidden="false" customHeight="false" outlineLevel="0" collapsed="false">
      <c r="A8" s="22" t="str">
        <f aca="false">'Dados Brutos'!A9</f>
        <v>Lazer</v>
      </c>
      <c r="B8" s="23" t="n">
        <f aca="false">'Dados Brutos'!K9</f>
        <v>40158</v>
      </c>
      <c r="C8" s="24" t="n">
        <f aca="false">'Dados Brutos'!K9/'Dados Brutos'!K$19</f>
        <v>0.124396830411633</v>
      </c>
      <c r="D8" s="23" t="n">
        <f aca="false">'Dados Brutos'!K9/8</f>
        <v>5019.75</v>
      </c>
      <c r="E8" s="23" t="n">
        <f aca="false">'Dados Brutos'!B9</f>
        <v>3600</v>
      </c>
      <c r="F8" s="24" t="n">
        <f aca="false">(D8-E8)/E8</f>
        <v>0.394375</v>
      </c>
    </row>
    <row r="9" customFormat="false" ht="15" hidden="false" customHeight="false" outlineLevel="0" collapsed="false">
      <c r="A9" s="22" t="str">
        <f aca="false">'Dados Brutos'!A10</f>
        <v>Educacao</v>
      </c>
      <c r="B9" s="23" t="n">
        <f aca="false">'Dados Brutos'!K10</f>
        <v>16645.18</v>
      </c>
      <c r="C9" s="24" t="n">
        <f aca="false">'Dados Brutos'!K10/'Dados Brutos'!K$19</f>
        <v>0.0515615228256165</v>
      </c>
      <c r="D9" s="23" t="n">
        <f aca="false">'Dados Brutos'!K10/8</f>
        <v>2080.6475</v>
      </c>
      <c r="E9" s="23" t="n">
        <f aca="false">'Dados Brutos'!B10</f>
        <v>1880</v>
      </c>
      <c r="F9" s="24" t="n">
        <f aca="false">(D9-E9)/E9</f>
        <v>0.106727393617021</v>
      </c>
    </row>
    <row r="10" customFormat="false" ht="15" hidden="false" customHeight="false" outlineLevel="0" collapsed="false">
      <c r="A10" s="22" t="str">
        <f aca="false">'Dados Brutos'!A11</f>
        <v>Impostos</v>
      </c>
      <c r="B10" s="23" t="n">
        <f aca="false">'Dados Brutos'!K11</f>
        <v>7849.58</v>
      </c>
      <c r="C10" s="24" t="n">
        <f aca="false">'Dados Brutos'!K11/'Dados Brutos'!K$19</f>
        <v>0.0243155254759337</v>
      </c>
      <c r="D10" s="23" t="n">
        <f aca="false">'Dados Brutos'!K11/8</f>
        <v>981.1975</v>
      </c>
      <c r="E10" s="23" t="n">
        <f aca="false">'Dados Brutos'!B11</f>
        <v>812</v>
      </c>
      <c r="F10" s="24" t="n">
        <f aca="false">(D10-E10)/E10</f>
        <v>0.208371305418719</v>
      </c>
    </row>
    <row r="11" customFormat="false" ht="15" hidden="false" customHeight="false" outlineLevel="0" collapsed="false">
      <c r="A11" s="22" t="str">
        <f aca="false">'Dados Brutos'!A12</f>
        <v>Assinaturas</v>
      </c>
      <c r="B11" s="23" t="n">
        <f aca="false">'Dados Brutos'!K12</f>
        <v>7784.17</v>
      </c>
      <c r="C11" s="24" t="n">
        <f aca="false">'Dados Brutos'!K12/'Dados Brutos'!K$19</f>
        <v>0.0241129059063031</v>
      </c>
      <c r="D11" s="23" t="n">
        <f aca="false">'Dados Brutos'!K12/8</f>
        <v>973.02125</v>
      </c>
      <c r="E11" s="23" t="n">
        <f aca="false">'Dados Brutos'!B12</f>
        <v>371</v>
      </c>
      <c r="F11" s="24" t="n">
        <f aca="false">(D11-E11)/E11</f>
        <v>1.62269878706199</v>
      </c>
    </row>
    <row r="12" customFormat="false" ht="15" hidden="false" customHeight="false" outlineLevel="0" collapsed="false">
      <c r="A12" s="22" t="str">
        <f aca="false">'Dados Brutos'!A13</f>
        <v>Tarifas Financeiras</v>
      </c>
      <c r="B12" s="23" t="n">
        <f aca="false">'Dados Brutos'!K13</f>
        <v>4607.7</v>
      </c>
      <c r="C12" s="24" t="n">
        <f aca="false">'Dados Brutos'!K13/'Dados Brutos'!K$19</f>
        <v>0.0142732027363833</v>
      </c>
      <c r="D12" s="23" t="n">
        <f aca="false">'Dados Brutos'!K13/8</f>
        <v>575.9625</v>
      </c>
      <c r="E12" s="23" t="n">
        <f aca="false">'Dados Brutos'!B13</f>
        <v>319</v>
      </c>
      <c r="F12" s="24" t="n">
        <f aca="false">(D12-E12)/E12</f>
        <v>0.805525078369906</v>
      </c>
    </row>
    <row r="13" customFormat="false" ht="15" hidden="false" customHeight="false" outlineLevel="0" collapsed="false">
      <c r="A13" s="22" t="str">
        <f aca="false">'Dados Brutos'!A14</f>
        <v>Servicos</v>
      </c>
      <c r="B13" s="23" t="n">
        <f aca="false">'Dados Brutos'!K14</f>
        <v>2929.03</v>
      </c>
      <c r="C13" s="24" t="n">
        <f aca="false">'Dados Brutos'!K14/'Dados Brutos'!K$19</f>
        <v>0.00907321201704731</v>
      </c>
      <c r="D13" s="23" t="n">
        <f aca="false">'Dados Brutos'!K14/8</f>
        <v>366.12875</v>
      </c>
      <c r="E13" s="23" t="n">
        <f aca="false">'Dados Brutos'!B14</f>
        <v>460</v>
      </c>
      <c r="F13" s="24" t="n">
        <f aca="false">(D13-E13)/E13</f>
        <v>-0.204067934782609</v>
      </c>
    </row>
    <row r="14" customFormat="false" ht="15" hidden="false" customHeight="false" outlineLevel="0" collapsed="false">
      <c r="A14" s="22" t="str">
        <f aca="false">'Dados Brutos'!A15</f>
        <v>Social</v>
      </c>
      <c r="B14" s="23" t="n">
        <f aca="false">'Dados Brutos'!K15</f>
        <v>2509.68</v>
      </c>
      <c r="C14" s="24" t="n">
        <f aca="false">'Dados Brutos'!K15/'Dados Brutos'!K$19</f>
        <v>0.00777419785217061</v>
      </c>
      <c r="D14" s="23" t="n">
        <f aca="false">'Dados Brutos'!K15/8</f>
        <v>313.71</v>
      </c>
      <c r="E14" s="23" t="n">
        <f aca="false">'Dados Brutos'!B15</f>
        <v>400</v>
      </c>
      <c r="F14" s="24" t="n">
        <f aca="false">(D14-E14)/E14</f>
        <v>-0.215725</v>
      </c>
    </row>
    <row r="15" customFormat="false" ht="15" hidden="false" customHeight="false" outlineLevel="0" collapsed="false">
      <c r="A15" s="8" t="s">
        <v>46</v>
      </c>
      <c r="B15" s="10" t="n">
        <f aca="false">SUM(B4:B14)</f>
        <v>328134.73</v>
      </c>
      <c r="C15" s="25" t="n">
        <f aca="false">SUM(C4:C14)</f>
        <v>1.01645799989982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9.7" hidden="false" customHeight="false" outlineLevel="0" collapsed="false">
      <c r="A1" s="1" t="s">
        <v>47</v>
      </c>
    </row>
    <row r="3" customFormat="false" ht="15" hidden="false" customHeight="false" outlineLevel="0" collapsed="false">
      <c r="A3" s="26" t="s">
        <v>48</v>
      </c>
      <c r="B3" s="26"/>
      <c r="C3" s="26"/>
      <c r="D3" s="26"/>
      <c r="E3" s="26"/>
      <c r="F3" s="26"/>
      <c r="G3" s="26"/>
      <c r="H3" s="26"/>
    </row>
    <row r="4" customFormat="false" ht="15" hidden="false" customHeight="false" outlineLevel="0" collapsed="false">
      <c r="A4" s="27" t="s">
        <v>49</v>
      </c>
      <c r="B4" s="27"/>
      <c r="C4" s="27"/>
      <c r="D4" s="27"/>
      <c r="E4" s="27"/>
      <c r="F4" s="27"/>
      <c r="G4" s="27"/>
      <c r="H4" s="27"/>
    </row>
    <row r="5" customFormat="false" ht="15" hidden="false" customHeight="false" outlineLevel="0" collapsed="false">
      <c r="A5" s="27" t="s">
        <v>50</v>
      </c>
      <c r="B5" s="27"/>
      <c r="C5" s="27"/>
      <c r="D5" s="27"/>
      <c r="E5" s="27"/>
      <c r="F5" s="27"/>
      <c r="G5" s="27"/>
      <c r="H5" s="27"/>
    </row>
    <row r="6" customFormat="false" ht="15" hidden="false" customHeight="false" outlineLevel="0" collapsed="false">
      <c r="A6" s="27" t="s">
        <v>51</v>
      </c>
      <c r="B6" s="27"/>
      <c r="C6" s="27"/>
      <c r="D6" s="27"/>
      <c r="E6" s="27"/>
      <c r="F6" s="27"/>
      <c r="G6" s="27"/>
      <c r="H6" s="27"/>
    </row>
    <row r="7" customFormat="false" ht="15" hidden="false" customHeight="false" outlineLevel="0" collapsed="false">
      <c r="A7" s="27" t="s">
        <v>52</v>
      </c>
      <c r="B7" s="27"/>
      <c r="C7" s="27"/>
      <c r="D7" s="27"/>
      <c r="E7" s="27"/>
      <c r="F7" s="27"/>
      <c r="G7" s="27"/>
      <c r="H7" s="27"/>
    </row>
    <row r="9" customFormat="false" ht="15" hidden="false" customHeight="false" outlineLevel="0" collapsed="false">
      <c r="A9" s="26" t="s">
        <v>53</v>
      </c>
      <c r="B9" s="26"/>
      <c r="C9" s="26"/>
      <c r="D9" s="26"/>
      <c r="E9" s="26"/>
      <c r="F9" s="26"/>
      <c r="G9" s="26"/>
      <c r="H9" s="26"/>
    </row>
    <row r="10" customFormat="false" ht="15" hidden="false" customHeight="false" outlineLevel="0" collapsed="false">
      <c r="A10" s="27" t="s">
        <v>54</v>
      </c>
      <c r="B10" s="27"/>
      <c r="C10" s="27"/>
      <c r="D10" s="27"/>
      <c r="E10" s="27"/>
      <c r="F10" s="27"/>
      <c r="G10" s="27"/>
      <c r="H10" s="27"/>
    </row>
    <row r="11" customFormat="false" ht="15" hidden="false" customHeight="false" outlineLevel="0" collapsed="false">
      <c r="A11" s="27" t="s">
        <v>55</v>
      </c>
      <c r="B11" s="27"/>
      <c r="C11" s="27"/>
      <c r="D11" s="27"/>
      <c r="E11" s="27"/>
      <c r="F11" s="27"/>
      <c r="G11" s="27"/>
      <c r="H11" s="27"/>
    </row>
    <row r="12" customFormat="false" ht="15" hidden="false" customHeight="false" outlineLevel="0" collapsed="false">
      <c r="A12" s="27" t="s">
        <v>56</v>
      </c>
      <c r="B12" s="27"/>
      <c r="C12" s="27"/>
      <c r="D12" s="27"/>
      <c r="E12" s="27"/>
      <c r="F12" s="27"/>
      <c r="G12" s="27"/>
      <c r="H12" s="27"/>
    </row>
    <row r="13" customFormat="false" ht="15" hidden="false" customHeight="false" outlineLevel="0" collapsed="false">
      <c r="A13" s="27" t="s">
        <v>57</v>
      </c>
      <c r="B13" s="27"/>
      <c r="C13" s="27"/>
      <c r="D13" s="27"/>
      <c r="E13" s="27"/>
      <c r="F13" s="27"/>
      <c r="G13" s="27"/>
      <c r="H13" s="27"/>
    </row>
    <row r="14" customFormat="false" ht="15" hidden="false" customHeight="false" outlineLevel="0" collapsed="false">
      <c r="A14" s="27" t="s">
        <v>58</v>
      </c>
      <c r="B14" s="27"/>
      <c r="C14" s="27"/>
      <c r="D14" s="27"/>
      <c r="E14" s="27"/>
      <c r="F14" s="27"/>
      <c r="G14" s="27"/>
      <c r="H14" s="27"/>
    </row>
    <row r="16" customFormat="false" ht="15" hidden="false" customHeight="false" outlineLevel="0" collapsed="false">
      <c r="A16" s="26" t="s">
        <v>59</v>
      </c>
      <c r="B16" s="26"/>
      <c r="C16" s="26"/>
      <c r="D16" s="26"/>
      <c r="E16" s="26"/>
      <c r="F16" s="26"/>
      <c r="G16" s="26"/>
      <c r="H16" s="26"/>
    </row>
    <row r="17" customFormat="false" ht="15" hidden="false" customHeight="false" outlineLevel="0" collapsed="false">
      <c r="A17" s="27" t="s">
        <v>60</v>
      </c>
      <c r="B17" s="27"/>
      <c r="C17" s="27"/>
      <c r="D17" s="27"/>
      <c r="E17" s="27"/>
      <c r="F17" s="27"/>
      <c r="G17" s="27"/>
      <c r="H17" s="27"/>
    </row>
    <row r="18" customFormat="false" ht="15" hidden="false" customHeight="false" outlineLevel="0" collapsed="false">
      <c r="A18" s="27" t="s">
        <v>61</v>
      </c>
      <c r="B18" s="27"/>
      <c r="C18" s="27"/>
      <c r="D18" s="27"/>
      <c r="E18" s="27"/>
      <c r="F18" s="27"/>
      <c r="G18" s="27"/>
      <c r="H18" s="27"/>
    </row>
    <row r="19" customFormat="false" ht="15" hidden="false" customHeight="false" outlineLevel="0" collapsed="false">
      <c r="A19" s="27" t="s">
        <v>62</v>
      </c>
      <c r="B19" s="27"/>
      <c r="C19" s="27"/>
      <c r="D19" s="27"/>
      <c r="E19" s="27"/>
      <c r="F19" s="27"/>
      <c r="G19" s="27"/>
      <c r="H19" s="27"/>
    </row>
    <row r="20" customFormat="false" ht="15" hidden="false" customHeight="false" outlineLevel="0" collapsed="false">
      <c r="A20" s="27" t="s">
        <v>63</v>
      </c>
      <c r="B20" s="27"/>
      <c r="C20" s="27"/>
      <c r="D20" s="27"/>
      <c r="E20" s="27"/>
      <c r="F20" s="27"/>
      <c r="G20" s="27"/>
      <c r="H20" s="27"/>
    </row>
    <row r="22" customFormat="false" ht="15" hidden="false" customHeight="false" outlineLevel="0" collapsed="false">
      <c r="A22" s="26" t="s">
        <v>64</v>
      </c>
      <c r="B22" s="26"/>
      <c r="C22" s="26"/>
      <c r="D22" s="26"/>
      <c r="E22" s="26"/>
      <c r="F22" s="26"/>
      <c r="G22" s="26"/>
      <c r="H22" s="26"/>
    </row>
    <row r="23" customFormat="false" ht="15" hidden="false" customHeight="false" outlineLevel="0" collapsed="false">
      <c r="A23" s="27" t="s">
        <v>65</v>
      </c>
      <c r="B23" s="27"/>
      <c r="C23" s="27"/>
      <c r="D23" s="27"/>
      <c r="E23" s="27"/>
      <c r="F23" s="27"/>
      <c r="G23" s="27"/>
      <c r="H23" s="27"/>
    </row>
    <row r="24" customFormat="false" ht="15" hidden="false" customHeight="false" outlineLevel="0" collapsed="false">
      <c r="A24" s="27" t="s">
        <v>66</v>
      </c>
      <c r="B24" s="27"/>
      <c r="C24" s="27"/>
      <c r="D24" s="27"/>
      <c r="E24" s="27"/>
      <c r="F24" s="27"/>
      <c r="G24" s="27"/>
      <c r="H24" s="27"/>
    </row>
    <row r="25" customFormat="false" ht="15" hidden="false" customHeight="false" outlineLevel="0" collapsed="false">
      <c r="A25" s="27" t="s">
        <v>67</v>
      </c>
      <c r="B25" s="27"/>
      <c r="C25" s="27"/>
      <c r="D25" s="27"/>
      <c r="E25" s="27"/>
      <c r="F25" s="27"/>
      <c r="G25" s="27"/>
      <c r="H25" s="27"/>
    </row>
    <row r="26" customFormat="false" ht="15" hidden="false" customHeight="false" outlineLevel="0" collapsed="false">
      <c r="A26" s="27" t="s">
        <v>68</v>
      </c>
      <c r="B26" s="27"/>
      <c r="C26" s="27"/>
      <c r="D26" s="27"/>
      <c r="E26" s="27"/>
      <c r="F26" s="27"/>
      <c r="G26" s="27"/>
      <c r="H26" s="27"/>
    </row>
    <row r="28" customFormat="false" ht="15" hidden="false" customHeight="false" outlineLevel="0" collapsed="false">
      <c r="A28" s="26" t="s">
        <v>69</v>
      </c>
      <c r="B28" s="26"/>
      <c r="C28" s="26"/>
      <c r="D28" s="26"/>
      <c r="E28" s="26"/>
      <c r="F28" s="26"/>
      <c r="G28" s="26"/>
      <c r="H28" s="26"/>
    </row>
    <row r="29" customFormat="false" ht="15" hidden="false" customHeight="false" outlineLevel="0" collapsed="false">
      <c r="A29" s="27" t="s">
        <v>70</v>
      </c>
      <c r="B29" s="27"/>
      <c r="C29" s="27"/>
      <c r="D29" s="27"/>
      <c r="E29" s="27"/>
      <c r="F29" s="27"/>
      <c r="G29" s="27"/>
      <c r="H29" s="27"/>
    </row>
    <row r="30" customFormat="false" ht="15" hidden="false" customHeight="false" outlineLevel="0" collapsed="false">
      <c r="A30" s="27" t="s">
        <v>71</v>
      </c>
      <c r="B30" s="27"/>
      <c r="C30" s="27"/>
      <c r="D30" s="27"/>
      <c r="E30" s="27"/>
      <c r="F30" s="27"/>
      <c r="G30" s="27"/>
      <c r="H30" s="27"/>
    </row>
    <row r="31" customFormat="false" ht="15" hidden="false" customHeight="false" outlineLevel="0" collapsed="false">
      <c r="A31" s="27" t="s">
        <v>72</v>
      </c>
      <c r="B31" s="27"/>
      <c r="C31" s="27"/>
      <c r="D31" s="27"/>
      <c r="E31" s="27"/>
      <c r="F31" s="27"/>
      <c r="G31" s="27"/>
      <c r="H31" s="27"/>
    </row>
    <row r="33" customFormat="false" ht="15" hidden="false" customHeight="false" outlineLevel="0" collapsed="false">
      <c r="A33" s="26" t="s">
        <v>73</v>
      </c>
      <c r="B33" s="26"/>
      <c r="C33" s="26"/>
      <c r="D33" s="26"/>
      <c r="E33" s="26"/>
      <c r="F33" s="26"/>
      <c r="G33" s="26"/>
      <c r="H33" s="26"/>
    </row>
    <row r="34" customFormat="false" ht="15" hidden="false" customHeight="false" outlineLevel="0" collapsed="false">
      <c r="A34" s="27" t="s">
        <v>74</v>
      </c>
      <c r="B34" s="27"/>
      <c r="C34" s="27"/>
      <c r="D34" s="27"/>
      <c r="E34" s="27"/>
      <c r="F34" s="27"/>
      <c r="G34" s="27"/>
      <c r="H34" s="27"/>
    </row>
    <row r="35" customFormat="false" ht="15" hidden="false" customHeight="false" outlineLevel="0" collapsed="false">
      <c r="A35" s="27" t="s">
        <v>75</v>
      </c>
      <c r="B35" s="27"/>
      <c r="C35" s="27"/>
      <c r="D35" s="27"/>
      <c r="E35" s="27"/>
      <c r="F35" s="27"/>
      <c r="G35" s="27"/>
      <c r="H35" s="27"/>
    </row>
    <row r="36" customFormat="false" ht="15" hidden="false" customHeight="false" outlineLevel="0" collapsed="false">
      <c r="A36" s="27" t="s">
        <v>76</v>
      </c>
      <c r="B36" s="27"/>
      <c r="C36" s="27"/>
      <c r="D36" s="27"/>
      <c r="E36" s="27"/>
      <c r="F36" s="27"/>
      <c r="G36" s="27"/>
      <c r="H36" s="27"/>
    </row>
    <row r="37" customFormat="false" ht="15" hidden="false" customHeight="false" outlineLevel="0" collapsed="false">
      <c r="A37" s="27" t="s">
        <v>77</v>
      </c>
      <c r="B37" s="27"/>
      <c r="C37" s="27"/>
      <c r="D37" s="27"/>
      <c r="E37" s="27"/>
      <c r="F37" s="27"/>
      <c r="G37" s="27"/>
      <c r="H37" s="27"/>
    </row>
  </sheetData>
  <mergeCells count="30">
    <mergeCell ref="A3:H3"/>
    <mergeCell ref="A4:H4"/>
    <mergeCell ref="A5:H5"/>
    <mergeCell ref="A6:H6"/>
    <mergeCell ref="A7:H7"/>
    <mergeCell ref="A9:H9"/>
    <mergeCell ref="A10:H10"/>
    <mergeCell ref="A11:H11"/>
    <mergeCell ref="A12:H12"/>
    <mergeCell ref="A13:H13"/>
    <mergeCell ref="A14:H14"/>
    <mergeCell ref="A16:H16"/>
    <mergeCell ref="A17:H17"/>
    <mergeCell ref="A18:H18"/>
    <mergeCell ref="A19:H19"/>
    <mergeCell ref="A20:H20"/>
    <mergeCell ref="A22:H22"/>
    <mergeCell ref="A23:H23"/>
    <mergeCell ref="A24:H24"/>
    <mergeCell ref="A25:H25"/>
    <mergeCell ref="A26:H26"/>
    <mergeCell ref="A28:H28"/>
    <mergeCell ref="A29:H29"/>
    <mergeCell ref="A30:H30"/>
    <mergeCell ref="A31:H31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2026-09-12T13:02:59Z</dcterms:created>
  <dc:creator>openpyxl</dc:creator>
  <dc:description/>
  <dc:language>en-US</dc:language>
  <cp:lastModifiedBy/>
  <dcterms:modified xsi:type="dcterms:W3CDTF">2026-09-12T13:03:12Z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